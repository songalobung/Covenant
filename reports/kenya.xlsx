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Haircut Distribution" sheetId="2" r:id="rId2"/>
    <sheet name="Resolution Timeline" sheetId="3" r:id="rId3"/>
    <sheet name="Risk Drivers &amp; Pricing" sheetId="4" r:id="rId4"/>
  </sheets>
  <calcPr calcId="124519" fullCalcOnLoad="1"/>
</workbook>
</file>

<file path=xl/sharedStrings.xml><?xml version="1.0" encoding="utf-8"?>
<sst xmlns="http://schemas.openxmlformats.org/spreadsheetml/2006/main" count="99" uniqueCount="93">
  <si>
    <t>Sovereign Distress Assessment: Kenya</t>
  </si>
  <si>
    <t>As-of Date: 2024-06-30 00:00:00 | Scenario: base | Simulation Draws: 100,000</t>
  </si>
  <si>
    <t>12M DISTRESS PROBABILITY</t>
  </si>
  <si>
    <t>97.8%</t>
  </si>
  <si>
    <t>24M DISTRESS PROBABILITY</t>
  </si>
  <si>
    <t>98.2%</t>
  </si>
  <si>
    <t>EXPECTED NPV HAIRCUT</t>
  </si>
  <si>
    <t>39.2%</t>
  </si>
  <si>
    <t>12M EXPECTED LOSS</t>
  </si>
  <si>
    <t>38.3%</t>
  </si>
  <si>
    <t>FAIR VALUE BOND PRICE</t>
  </si>
  <si>
    <t>61.7</t>
  </si>
  <si>
    <t>MEDIAN DURATION</t>
  </si>
  <si>
    <t>30.1 mos</t>
  </si>
  <si>
    <t>Headline Risk &amp; Valuation Metrics</t>
  </si>
  <si>
    <t>Metric</t>
  </si>
  <si>
    <t>12-Month Horizon</t>
  </si>
  <si>
    <t>24-Month Horizon</t>
  </si>
  <si>
    <t>Probability of Distress (PD)</t>
  </si>
  <si>
    <t>Expected NPV Haircut</t>
  </si>
  <si>
    <t>Expected Loss (% Face Value)</t>
  </si>
  <si>
    <t>Model Fair Value Price</t>
  </si>
  <si>
    <t>Median Resolution Duration (months)</t>
  </si>
  <si>
    <t>Market Bond Price</t>
  </si>
  <si>
    <t>Market Price Gap (Market - Model)</t>
  </si>
  <si>
    <t>Scenario Stress Testing Comparison</t>
  </si>
  <si>
    <t>Scenario</t>
  </si>
  <si>
    <t>PD (12m)</t>
  </si>
  <si>
    <t>PD (24m)</t>
  </si>
  <si>
    <t>Expected Haircut</t>
  </si>
  <si>
    <t>Expected Loss (12m)</t>
  </si>
  <si>
    <t>Fair Value Price</t>
  </si>
  <si>
    <t>base</t>
  </si>
  <si>
    <t>fx_shock</t>
  </si>
  <si>
    <t>spread_widening</t>
  </si>
  <si>
    <t>imf_program_lost</t>
  </si>
  <si>
    <t>Restructuring NPV Haircut Distribution</t>
  </si>
  <si>
    <t>Beta distribution calibrated to macro solvency drivers and Cruces-Trebesch empirical priors</t>
  </si>
  <si>
    <t>Distribution Percentiles</t>
  </si>
  <si>
    <t>Statistic</t>
  </si>
  <si>
    <t>Haircut %</t>
  </si>
  <si>
    <t>10th Percentile (P10)</t>
  </si>
  <si>
    <t>Median Restructuring Haircut</t>
  </si>
  <si>
    <t>Mean Restructuring Haircut</t>
  </si>
  <si>
    <t>90th Percentile (P90)</t>
  </si>
  <si>
    <t>Empirical Anchor Range (Low)</t>
  </si>
  <si>
    <t>Empirical Anchor Range (High)</t>
  </si>
  <si>
    <t>Simulated Haircut Density Curve</t>
  </si>
  <si>
    <t>Haircut Bracket</t>
  </si>
  <si>
    <t>Probability Density</t>
  </si>
  <si>
    <t>5-15%</t>
  </si>
  <si>
    <t>15-25%</t>
  </si>
  <si>
    <t>25-35%</t>
  </si>
  <si>
    <t>35-45%</t>
  </si>
  <si>
    <t>45-55%</t>
  </si>
  <si>
    <t>55-65%</t>
  </si>
  <si>
    <t>65-75%</t>
  </si>
  <si>
    <t>75-85%</t>
  </si>
  <si>
    <t>Restructuring Duration Survival Analysis</t>
  </si>
  <si>
    <t>Weibull Accelerated Failure Time (AFT) model capturing creditor coordination friction</t>
  </si>
  <si>
    <t>Resolution Milestone Probabilities</t>
  </si>
  <si>
    <t>Time Horizon</t>
  </si>
  <si>
    <t>Probability Resolved</t>
  </si>
  <si>
    <t>Still in Distress S(t)</t>
  </si>
  <si>
    <t>6 Months</t>
  </si>
  <si>
    <t>12 Months</t>
  </si>
  <si>
    <t>18 Months</t>
  </si>
  <si>
    <t>24 Months</t>
  </si>
  <si>
    <t>30 Months</t>
  </si>
  <si>
    <t>36 Months</t>
  </si>
  <si>
    <t>48 Months</t>
  </si>
  <si>
    <t>60 Months</t>
  </si>
  <si>
    <t>Risk Attribution &amp; Market Pricing Gap</t>
  </si>
  <si>
    <t>Econometric log-odds feature decomposition and comparison against market-implied CDS hazard rates</t>
  </si>
  <si>
    <t>Top Feature Contributions to Log-Odds</t>
  </si>
  <si>
    <t>Indicator</t>
  </si>
  <si>
    <t>Current Value</t>
  </si>
  <si>
    <t>Direction / Beta</t>
  </si>
  <si>
    <t>Log-Odds Contribution</t>
  </si>
  <si>
    <t>log_spread</t>
  </si>
  <si>
    <t>Raises Risk (+)</t>
  </si>
  <si>
    <t>reserves_months_imports</t>
  </si>
  <si>
    <t>Lowers Risk (-)</t>
  </si>
  <si>
    <t>debt_service_pct_revenue</t>
  </si>
  <si>
    <t>external_debt_pct_gdp</t>
  </si>
  <si>
    <t>imf_program</t>
  </si>
  <si>
    <t>fiscal_balance_pct_gdp</t>
  </si>
  <si>
    <t>Fundamental Model vs Market Pricing</t>
  </si>
  <si>
    <t>Fundamental Model</t>
  </si>
  <si>
    <t>Market-Implied</t>
  </si>
  <si>
    <t>Gap</t>
  </si>
  <si>
    <t>Distress Probability (12m)</t>
  </si>
  <si>
    <t>Underlying Spread (bps)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</si>
</sst>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9"/>
      <color rgb="FF666666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2"/>
      <color rgb="FF1B365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7FA"/>
        <bgColor indexed="64"/>
      </patternFill>
    </fill>
    <fill>
      <patternFill patternType="solid">
        <fgColor rgb="FFE8EFF5"/>
        <bgColor indexed="64"/>
      </patternFill>
    </fill>
    <fill>
      <patternFill patternType="solid">
        <fgColor rgb="FF1B36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B365D"/>
      </bottom>
      <diagonal/>
    </border>
    <border>
      <left style="thin">
        <color rgb="FFC2D4E5"/>
      </left>
      <right style="thin">
        <color rgb="FFC2D4E5"/>
      </right>
      <top style="thin">
        <color rgb="FFC2D4E5"/>
      </top>
      <bottom/>
      <diagonal/>
    </border>
    <border>
      <left style="thin">
        <color rgb="FFC2D4E5"/>
      </left>
      <right style="thin">
        <color rgb="FFC2D4E5"/>
      </right>
      <top/>
      <bottom style="thin">
        <color rgb="FFC2D4E5"/>
      </bottom>
      <diagonal/>
    </border>
    <border>
      <left style="thin">
        <color rgb="FFC2D4E5"/>
      </left>
      <right style="thin">
        <color rgb="FFC2D4E5"/>
      </right>
      <top style="thin">
        <color rgb="FFC2D4E5"/>
      </top>
      <bottom style="thin">
        <color rgb="FFC2D4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4" xfId="0" applyFont="1" applyFill="1" applyBorder="1"/>
    <xf numFmtId="0" fontId="6" fillId="4" borderId="5" xfId="0" applyFont="1" applyFill="1" applyBorder="1" applyAlignment="1">
      <alignment horizontal="center" vertical="center"/>
    </xf>
    <xf numFmtId="0" fontId="7" fillId="0" borderId="6" xfId="0" applyFont="1" applyBorder="1"/>
    <xf numFmtId="164" fontId="7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Distress Probability &amp; Expected Loss by Scenario (Kenya)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Summary'!$B$16</c:f>
              <c:strCache>
                <c:ptCount val="1"/>
              </c:strCache>
            </c:strRef>
          </c:tx>
          <c:spPr>
            <a:solidFill>
              <a:srgbClr val="1B365D"/>
            </a:solidFill>
          </c:spPr>
          <c:cat>
            <c:strRef>
              <c:f>'Executive Summary'!$A$17:$A$22</c:f>
              <c:strCache>
                <c:ptCount val="6"/>
                <c:pt idx="1">
                  <c:v>Scenario Stress Testing Comparison</c:v>
                </c:pt>
                <c:pt idx="2">
                  <c:v>Scenario</c:v>
                </c:pt>
                <c:pt idx="3">
                  <c:v>base</c:v>
                </c:pt>
                <c:pt idx="4">
                  <c:v>fx_shock</c:v>
                </c:pt>
                <c:pt idx="5">
                  <c:v>spread_widening</c:v>
                </c:pt>
              </c:strCache>
            </c:strRef>
          </c:cat>
          <c:val>
            <c:numRef>
              <c:f>'Executive Summary'!$B$17:$B$22</c:f>
              <c:numCache>
                <c:formatCode>General</c:formatCode>
                <c:ptCount val="6"/>
                <c:pt idx="2">
                  <c:v>0</c:v>
                </c:pt>
                <c:pt idx="3">
                  <c:v>0.978</c:v>
                </c:pt>
                <c:pt idx="4">
                  <c:v>0.987</c:v>
                </c:pt>
                <c:pt idx="5">
                  <c:v>0.9865999999999999</c:v>
                </c:pt>
              </c:numCache>
            </c:numRef>
          </c:val>
        </c:ser>
        <c:ser>
          <c:idx val="1"/>
          <c:order val="1"/>
          <c:tx>
            <c:strRef>
              <c:f>'Executive Summary'!$C$16</c:f>
              <c:strCache>
                <c:ptCount val="1"/>
              </c:strCache>
            </c:strRef>
          </c:tx>
          <c:spPr>
            <a:solidFill>
              <a:srgbClr val="4A90E2"/>
            </a:solidFill>
          </c:spPr>
          <c:cat>
            <c:strRef>
              <c:f>'Executive Summary'!$A$17:$A$22</c:f>
              <c:strCache>
                <c:ptCount val="6"/>
                <c:pt idx="1">
                  <c:v>Scenario Stress Testing Comparison</c:v>
                </c:pt>
                <c:pt idx="2">
                  <c:v>Scenario</c:v>
                </c:pt>
                <c:pt idx="3">
                  <c:v>base</c:v>
                </c:pt>
                <c:pt idx="4">
                  <c:v>fx_shock</c:v>
                </c:pt>
                <c:pt idx="5">
                  <c:v>spread_widening</c:v>
                </c:pt>
              </c:strCache>
            </c:strRef>
          </c:cat>
          <c:val>
            <c:numRef>
              <c:f>'Executive Summary'!$C$17:$C$22</c:f>
              <c:numCache>
                <c:formatCode>General</c:formatCode>
                <c:ptCount val="6"/>
                <c:pt idx="2">
                  <c:v>0</c:v>
                </c:pt>
                <c:pt idx="3">
                  <c:v>0.9818000000000001</c:v>
                </c:pt>
                <c:pt idx="4">
                  <c:v>0.9881</c:v>
                </c:pt>
                <c:pt idx="5">
                  <c:v>0.9883</c:v>
                </c:pt>
              </c:numCache>
            </c:numRef>
          </c:val>
        </c:ser>
        <c:ser>
          <c:idx val="2"/>
          <c:order val="2"/>
          <c:tx>
            <c:strRef>
              <c:f>'Executive Summary'!$E$16</c:f>
              <c:strCache>
                <c:ptCount val="1"/>
              </c:strCache>
            </c:strRef>
          </c:tx>
          <c:spPr>
            <a:solidFill>
              <a:srgbClr val="D9534F"/>
            </a:solidFill>
          </c:spPr>
          <c:cat>
            <c:strRef>
              <c:f>'Executive Summary'!$A$17:$A$22</c:f>
              <c:strCache>
                <c:ptCount val="6"/>
                <c:pt idx="1">
                  <c:v>Scenario Stress Testing Comparison</c:v>
                </c:pt>
                <c:pt idx="2">
                  <c:v>Scenario</c:v>
                </c:pt>
                <c:pt idx="3">
                  <c:v>base</c:v>
                </c:pt>
                <c:pt idx="4">
                  <c:v>fx_shock</c:v>
                </c:pt>
                <c:pt idx="5">
                  <c:v>spread_widening</c:v>
                </c:pt>
              </c:strCache>
            </c:strRef>
          </c:cat>
          <c:val>
            <c:numRef>
              <c:f>'Executive Summary'!$E$17:$E$22</c:f>
              <c:numCache>
                <c:formatCode>General</c:formatCode>
                <c:ptCount val="6"/>
                <c:pt idx="2">
                  <c:v>0</c:v>
                </c:pt>
                <c:pt idx="3">
                  <c:v>0.383</c:v>
                </c:pt>
                <c:pt idx="4">
                  <c:v>0.3865</c:v>
                </c:pt>
                <c:pt idx="5">
                  <c:v>0.3863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Restructuring NPV Haircut Probability Distribution (Kenya)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Probability Density</c:v>
          </c:tx>
          <c:spPr>
            <a:solidFill>
              <a:srgbClr val="2E7D32"/>
            </a:solidFill>
          </c:spPr>
          <c:cat>
            <c:strRef>
              <c:f>'Haircut Distribution'!$A$15:$A$22</c:f>
              <c:strCache>
                <c:ptCount val="8"/>
                <c:pt idx="0">
                  <c:v>5-15%</c:v>
                </c:pt>
                <c:pt idx="1">
                  <c:v>15-25%</c:v>
                </c:pt>
                <c:pt idx="2">
                  <c:v>25-35%</c:v>
                </c:pt>
                <c:pt idx="3">
                  <c:v>35-45%</c:v>
                </c:pt>
                <c:pt idx="4">
                  <c:v>45-55%</c:v>
                </c:pt>
                <c:pt idx="5">
                  <c:v>55-65%</c:v>
                </c:pt>
                <c:pt idx="6">
                  <c:v>65-75%</c:v>
                </c:pt>
                <c:pt idx="7">
                  <c:v>75-85%</c:v>
                </c:pt>
              </c:strCache>
            </c:strRef>
          </c:cat>
          <c:val>
            <c:numRef>
              <c:f>'Haircut Distribution'!$B$15:$B$22</c:f>
              <c:numCache>
                <c:formatCode>General</c:formatCode>
                <c:ptCount val="8"/>
                <c:pt idx="0">
                  <c:v>0.04</c:v>
                </c:pt>
                <c:pt idx="1">
                  <c:v>0.12</c:v>
                </c:pt>
                <c:pt idx="2">
                  <c:v>0.28</c:v>
                </c:pt>
                <c:pt idx="3">
                  <c:v>0.32</c:v>
                </c:pt>
                <c:pt idx="4">
                  <c:v>0.15</c:v>
                </c:pt>
                <c:pt idx="5">
                  <c:v>0.06</c:v>
                </c:pt>
                <c:pt idx="6">
                  <c:v>0.02</c:v>
                </c:pt>
                <c:pt idx="7">
                  <c:v>0.01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NPV Haircut Range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 Mass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Restructuring Timeline &amp; Survival Trajectory (Kenya)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Restructuring Concluded</c:v>
          </c:tx>
          <c:spPr>
            <a:ln w="31750">
              <a:solidFill>
                <a:srgbClr val="2E7D32"/>
              </a:solidFill>
            </a:ln>
          </c:spPr>
          <c:marker>
            <c:symbol val="none"/>
          </c:marker>
          <c:cat>
            <c:strRef>
              <c:f>'Resolution Timeline'!$A$6:$A$13</c:f>
              <c:strCache>
                <c:ptCount val="8"/>
                <c:pt idx="0">
                  <c:v>6 Months</c:v>
                </c:pt>
                <c:pt idx="1">
                  <c:v>12 Months</c:v>
                </c:pt>
                <c:pt idx="2">
                  <c:v>18 Months</c:v>
                </c:pt>
                <c:pt idx="3">
                  <c:v>24 Months</c:v>
                </c:pt>
                <c:pt idx="4">
                  <c:v>30 Months</c:v>
                </c:pt>
                <c:pt idx="5">
                  <c:v>36 Months</c:v>
                </c:pt>
                <c:pt idx="6">
                  <c:v>48 Months</c:v>
                </c:pt>
                <c:pt idx="7">
                  <c:v>60 Months</c:v>
                </c:pt>
              </c:strCache>
            </c:strRef>
          </c:cat>
          <c:val>
            <c:numRef>
              <c:f>'Resolution Timeline'!$B$6:$B$13</c:f>
              <c:numCache>
                <c:formatCode>General</c:formatCode>
                <c:ptCount val="8"/>
                <c:pt idx="0">
                  <c:v>0.08</c:v>
                </c:pt>
                <c:pt idx="1">
                  <c:v>0.196</c:v>
                </c:pt>
                <c:pt idx="2">
                  <c:v>0.30035</c:v>
                </c:pt>
                <c:pt idx="3">
                  <c:v>0.4047</c:v>
                </c:pt>
                <c:pt idx="4">
                  <c:v>0.491</c:v>
                </c:pt>
                <c:pt idx="5">
                  <c:v>0.5773</c:v>
                </c:pt>
                <c:pt idx="6">
                  <c:v>0.7216250000000001</c:v>
                </c:pt>
                <c:pt idx="7">
                  <c:v>0.80822</c:v>
                </c:pt>
              </c:numCache>
            </c:numRef>
          </c:val>
        </c:ser>
        <c:ser>
          <c:idx val="1"/>
          <c:order val="1"/>
          <c:tx>
            <c:v>Probability Remaining in Distress S(t)</c:v>
          </c:tx>
          <c:spPr>
            <a:ln w="31750">
              <a:solidFill>
                <a:srgbClr val="E65100"/>
              </a:solidFill>
              <a:prstDash val="dash"/>
            </a:ln>
          </c:spPr>
          <c:marker>
            <c:symbol val="none"/>
          </c:marker>
          <c:cat>
            <c:strRef>
              <c:f>'Resolution Timeline'!$A$6:$A$13</c:f>
              <c:strCache>
                <c:ptCount val="8"/>
                <c:pt idx="0">
                  <c:v>6 Months</c:v>
                </c:pt>
                <c:pt idx="1">
                  <c:v>12 Months</c:v>
                </c:pt>
                <c:pt idx="2">
                  <c:v>18 Months</c:v>
                </c:pt>
                <c:pt idx="3">
                  <c:v>24 Months</c:v>
                </c:pt>
                <c:pt idx="4">
                  <c:v>30 Months</c:v>
                </c:pt>
                <c:pt idx="5">
                  <c:v>36 Months</c:v>
                </c:pt>
                <c:pt idx="6">
                  <c:v>48 Months</c:v>
                </c:pt>
                <c:pt idx="7">
                  <c:v>60 Months</c:v>
                </c:pt>
              </c:strCache>
            </c:strRef>
          </c:cat>
          <c:val>
            <c:numRef>
              <c:f>'Resolution Timeline'!$C$6:$C$13</c:f>
              <c:numCache>
                <c:formatCode>General</c:formatCode>
                <c:ptCount val="8"/>
                <c:pt idx="0">
                  <c:v>0.92</c:v>
                </c:pt>
                <c:pt idx="1">
                  <c:v>0.804</c:v>
                </c:pt>
                <c:pt idx="2">
                  <c:v>0.69965</c:v>
                </c:pt>
                <c:pt idx="3">
                  <c:v>0.5952999999999999</c:v>
                </c:pt>
                <c:pt idx="4">
                  <c:v>0.509</c:v>
                </c:pt>
                <c:pt idx="5">
                  <c:v>0.4227</c:v>
                </c:pt>
                <c:pt idx="6">
                  <c:v>0.2783749999999999</c:v>
                </c:pt>
                <c:pt idx="7">
                  <c:v>0.19178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 from Distress Start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Feature Log-Odds Contribution (Kenya)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Log-Odds Impact</c:v>
          </c:tx>
          <c:spPr>
            <a:solidFill>
              <a:srgbClr val="6A1B9A"/>
            </a:solidFill>
          </c:spPr>
          <c:cat>
            <c:strRef>
              <c:f>'Risk Drivers &amp; Pricing'!$A$6:$A$11</c:f>
              <c:strCache>
                <c:ptCount val="6"/>
                <c:pt idx="0">
                  <c:v>log_spread</c:v>
                </c:pt>
                <c:pt idx="1">
                  <c:v>reserves_months_imports</c:v>
                </c:pt>
                <c:pt idx="2">
                  <c:v>debt_service_pct_revenue</c:v>
                </c:pt>
                <c:pt idx="3">
                  <c:v>external_debt_pct_gdp</c:v>
                </c:pt>
                <c:pt idx="4">
                  <c:v>imf_program</c:v>
                </c:pt>
                <c:pt idx="5">
                  <c:v>fiscal_balance_pct_gdp</c:v>
                </c:pt>
              </c:strCache>
            </c:strRef>
          </c:cat>
          <c:val>
            <c:numRef>
              <c:f>'Risk Drivers &amp; Pricing'!$D$6:$D$11</c:f>
              <c:numCache>
                <c:formatCode>General</c:formatCode>
                <c:ptCount val="6"/>
                <c:pt idx="0">
                  <c:v>5.465261556333266</c:v>
                </c:pt>
                <c:pt idx="1">
                  <c:v>-1.295</c:v>
                </c:pt>
                <c:pt idx="2">
                  <c:v>1.278</c:v>
                </c:pt>
                <c:pt idx="3">
                  <c:v>1.275</c:v>
                </c:pt>
                <c:pt idx="4">
                  <c:v>-0.65</c:v>
                </c:pt>
                <c:pt idx="5">
                  <c:v>0.312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Macro-Fiscal Indicator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Contribution to Logit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7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561975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38100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365D"/>
  </sheetPr>
  <dimension ref="A1:F23"/>
  <sheetViews>
    <sheetView tabSelected="1" workbookViewId="0"/>
  </sheetViews>
  <sheetFormatPr defaultRowHeight="15"/>
  <cols>
    <col min="1" max="1" width="28.7109375" customWidth="1"/>
    <col min="2" max="7" width="18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4</v>
      </c>
      <c r="C4" s="3" t="s">
        <v>6</v>
      </c>
      <c r="D4" s="3" t="s">
        <v>8</v>
      </c>
      <c r="E4" s="3" t="s">
        <v>10</v>
      </c>
      <c r="F4" s="3" t="s">
        <v>12</v>
      </c>
    </row>
    <row r="5" spans="1:6">
      <c r="A5" s="4" t="s">
        <v>3</v>
      </c>
      <c r="B5" s="4" t="s">
        <v>5</v>
      </c>
      <c r="C5" s="4" t="s">
        <v>7</v>
      </c>
      <c r="D5" s="4" t="s">
        <v>9</v>
      </c>
      <c r="E5" s="4" t="s">
        <v>11</v>
      </c>
      <c r="F5" s="4" t="s">
        <v>13</v>
      </c>
    </row>
    <row r="7" spans="1:6">
      <c r="A7" s="5" t="s">
        <v>14</v>
      </c>
    </row>
    <row r="8" spans="1:6">
      <c r="A8" s="6" t="s">
        <v>15</v>
      </c>
      <c r="B8" s="6" t="s">
        <v>16</v>
      </c>
      <c r="C8" s="6" t="s">
        <v>17</v>
      </c>
    </row>
    <row r="9" spans="1:6">
      <c r="A9" s="7" t="s">
        <v>18</v>
      </c>
      <c r="B9" s="8">
        <v>0.978</v>
      </c>
      <c r="C9" s="8">
        <v>0.9818000000000001</v>
      </c>
    </row>
    <row r="10" spans="1:6">
      <c r="A10" s="7" t="s">
        <v>19</v>
      </c>
      <c r="B10" s="8">
        <v>0.3915999999999999</v>
      </c>
      <c r="C10" s="8">
        <v>0.3915999999999999</v>
      </c>
    </row>
    <row r="11" spans="1:6">
      <c r="A11" s="7" t="s">
        <v>20</v>
      </c>
      <c r="B11" s="8">
        <v>0.383</v>
      </c>
      <c r="C11" s="8">
        <v>0.3845</v>
      </c>
    </row>
    <row r="12" spans="1:6">
      <c r="A12" s="7" t="s">
        <v>21</v>
      </c>
      <c r="B12" s="9">
        <v>61.7</v>
      </c>
      <c r="C12" s="9">
        <v>61.55</v>
      </c>
    </row>
    <row r="13" spans="1:6">
      <c r="A13" s="7" t="s">
        <v>22</v>
      </c>
      <c r="B13" s="9">
        <v>30.1</v>
      </c>
      <c r="C13" s="9">
        <v>30.1</v>
      </c>
    </row>
    <row r="14" spans="1:6">
      <c r="A14" s="7" t="s">
        <v>23</v>
      </c>
      <c r="B14" s="9">
        <v>82.5</v>
      </c>
      <c r="C14" s="9">
        <v>82.5</v>
      </c>
    </row>
    <row r="15" spans="1:6">
      <c r="A15" s="7" t="s">
        <v>24</v>
      </c>
      <c r="B15" s="9">
        <v>20.8</v>
      </c>
      <c r="C15" s="9">
        <v>20.8</v>
      </c>
    </row>
    <row r="18" spans="1:6">
      <c r="A18" s="5" t="s">
        <v>25</v>
      </c>
    </row>
    <row r="19" spans="1:6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</row>
    <row r="20" spans="1:6">
      <c r="A20" s="7" t="s">
        <v>32</v>
      </c>
      <c r="B20" s="8">
        <v>0.978</v>
      </c>
      <c r="C20" s="8">
        <v>0.9818000000000001</v>
      </c>
      <c r="D20" s="8">
        <v>0.3915999999999999</v>
      </c>
      <c r="E20" s="8">
        <v>0.383</v>
      </c>
      <c r="F20" s="9">
        <v>61.7</v>
      </c>
    </row>
    <row r="21" spans="1:6">
      <c r="A21" s="7" t="s">
        <v>33</v>
      </c>
      <c r="B21" s="8">
        <v>0.987</v>
      </c>
      <c r="C21" s="8">
        <v>0.9881</v>
      </c>
      <c r="D21" s="8">
        <v>0.3915999999999999</v>
      </c>
      <c r="E21" s="8">
        <v>0.3865</v>
      </c>
      <c r="F21" s="9">
        <v>61.35</v>
      </c>
    </row>
    <row r="22" spans="1:6">
      <c r="A22" s="7" t="s">
        <v>34</v>
      </c>
      <c r="B22" s="8">
        <v>0.9865999999999999</v>
      </c>
      <c r="C22" s="8">
        <v>0.9883</v>
      </c>
      <c r="D22" s="8">
        <v>0.3915999999999999</v>
      </c>
      <c r="E22" s="8">
        <v>0.3863</v>
      </c>
      <c r="F22" s="9">
        <v>61.37</v>
      </c>
    </row>
    <row r="23" spans="1:6">
      <c r="A23" s="7" t="s">
        <v>35</v>
      </c>
      <c r="B23" s="8">
        <v>0.9884000000000001</v>
      </c>
      <c r="C23" s="8">
        <v>0.9893999999999999</v>
      </c>
      <c r="D23" s="8">
        <v>0.4036</v>
      </c>
      <c r="E23" s="8">
        <v>0.3989</v>
      </c>
      <c r="F23" s="9">
        <v>60.11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D32"/>
  </sheetPr>
  <dimension ref="A1:B22"/>
  <sheetViews>
    <sheetView workbookViewId="0"/>
  </sheetViews>
  <sheetFormatPr defaultRowHeight="15"/>
  <cols>
    <col min="1" max="1" width="28.7109375" customWidth="1"/>
    <col min="2" max="3" width="16.7109375" customWidth="1"/>
    <col min="5" max="7" width="18.7109375" customWidth="1"/>
  </cols>
  <sheetData>
    <row r="1" spans="1:2">
      <c r="A1" s="1" t="s">
        <v>36</v>
      </c>
    </row>
    <row r="2" spans="1:2">
      <c r="A2" s="2" t="s">
        <v>37</v>
      </c>
    </row>
    <row r="4" spans="1:2">
      <c r="A4" s="5" t="s">
        <v>38</v>
      </c>
    </row>
    <row r="5" spans="1:2">
      <c r="A5" s="6" t="s">
        <v>39</v>
      </c>
      <c r="B5" s="6" t="s">
        <v>40</v>
      </c>
    </row>
    <row r="6" spans="1:2">
      <c r="A6" s="7" t="s">
        <v>41</v>
      </c>
      <c r="B6" s="8">
        <v>0.067</v>
      </c>
    </row>
    <row r="7" spans="1:2">
      <c r="A7" s="7" t="s">
        <v>42</v>
      </c>
      <c r="B7" s="8">
        <v>0.3915999999999999</v>
      </c>
    </row>
    <row r="8" spans="1:2">
      <c r="A8" s="7" t="s">
        <v>43</v>
      </c>
      <c r="B8" s="8">
        <v>0.3915999999999999</v>
      </c>
    </row>
    <row r="9" spans="1:2">
      <c r="A9" s="7" t="s">
        <v>44</v>
      </c>
      <c r="B9" s="8">
        <v>0.52866</v>
      </c>
    </row>
    <row r="10" spans="1:2">
      <c r="A10" s="7" t="s">
        <v>45</v>
      </c>
      <c r="B10" s="8">
        <v>0.2</v>
      </c>
    </row>
    <row r="11" spans="1:2">
      <c r="A11" s="7" t="s">
        <v>46</v>
      </c>
      <c r="B11" s="8">
        <v>0.6</v>
      </c>
    </row>
    <row r="13" spans="1:2">
      <c r="A13" s="5" t="s">
        <v>47</v>
      </c>
    </row>
    <row r="14" spans="1:2">
      <c r="A14" s="6" t="s">
        <v>48</v>
      </c>
      <c r="B14" s="6" t="s">
        <v>49</v>
      </c>
    </row>
    <row r="15" spans="1:2">
      <c r="A15" s="7" t="s">
        <v>50</v>
      </c>
      <c r="B15" s="8">
        <v>0.04</v>
      </c>
    </row>
    <row r="16" spans="1:2">
      <c r="A16" s="7" t="s">
        <v>51</v>
      </c>
      <c r="B16" s="8">
        <v>0.12</v>
      </c>
    </row>
    <row r="17" spans="1:2">
      <c r="A17" s="7" t="s">
        <v>52</v>
      </c>
      <c r="B17" s="8">
        <v>0.28</v>
      </c>
    </row>
    <row r="18" spans="1:2">
      <c r="A18" s="7" t="s">
        <v>53</v>
      </c>
      <c r="B18" s="8">
        <v>0.32</v>
      </c>
    </row>
    <row r="19" spans="1:2">
      <c r="A19" s="7" t="s">
        <v>54</v>
      </c>
      <c r="B19" s="8">
        <v>0.15</v>
      </c>
    </row>
    <row r="20" spans="1:2">
      <c r="A20" s="7" t="s">
        <v>55</v>
      </c>
      <c r="B20" s="8">
        <v>0.06</v>
      </c>
    </row>
    <row r="21" spans="1:2">
      <c r="A21" s="7" t="s">
        <v>56</v>
      </c>
      <c r="B21" s="8">
        <v>0.02</v>
      </c>
    </row>
    <row r="22" spans="1:2">
      <c r="A22" s="7" t="s">
        <v>57</v>
      </c>
      <c r="B22" s="8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65100"/>
  </sheetPr>
  <dimension ref="A1:C13"/>
  <sheetViews>
    <sheetView workbookViewId="0"/>
  </sheetViews>
  <sheetFormatPr defaultRowHeight="15"/>
  <cols>
    <col min="1" max="1" width="22.7109375" customWidth="1"/>
    <col min="2" max="3" width="20.7109375" customWidth="1"/>
  </cols>
  <sheetData>
    <row r="1" spans="1:3">
      <c r="A1" s="1" t="s">
        <v>58</v>
      </c>
    </row>
    <row r="2" spans="1:3">
      <c r="A2" s="2" t="s">
        <v>59</v>
      </c>
    </row>
    <row r="4" spans="1:3">
      <c r="A4" s="5" t="s">
        <v>60</v>
      </c>
    </row>
    <row r="5" spans="1:3">
      <c r="A5" s="6" t="s">
        <v>61</v>
      </c>
      <c r="B5" s="6" t="s">
        <v>62</v>
      </c>
      <c r="C5" s="6" t="s">
        <v>63</v>
      </c>
    </row>
    <row r="6" spans="1:3">
      <c r="A6" s="7" t="s">
        <v>64</v>
      </c>
      <c r="B6" s="8">
        <v>0.08</v>
      </c>
      <c r="C6" s="8">
        <v>0.92</v>
      </c>
    </row>
    <row r="7" spans="1:3">
      <c r="A7" s="7" t="s">
        <v>65</v>
      </c>
      <c r="B7" s="8">
        <v>0.196</v>
      </c>
      <c r="C7" s="8">
        <v>0.804</v>
      </c>
    </row>
    <row r="8" spans="1:3">
      <c r="A8" s="7" t="s">
        <v>66</v>
      </c>
      <c r="B8" s="8">
        <v>0.30035</v>
      </c>
      <c r="C8" s="8">
        <v>0.69965</v>
      </c>
    </row>
    <row r="9" spans="1:3">
      <c r="A9" s="7" t="s">
        <v>67</v>
      </c>
      <c r="B9" s="8">
        <v>0.4047</v>
      </c>
      <c r="C9" s="8">
        <v>0.5952999999999999</v>
      </c>
    </row>
    <row r="10" spans="1:3">
      <c r="A10" s="7" t="s">
        <v>68</v>
      </c>
      <c r="B10" s="8">
        <v>0.491</v>
      </c>
      <c r="C10" s="8">
        <v>0.509</v>
      </c>
    </row>
    <row r="11" spans="1:3">
      <c r="A11" s="7" t="s">
        <v>69</v>
      </c>
      <c r="B11" s="8">
        <v>0.5773</v>
      </c>
      <c r="C11" s="8">
        <v>0.4227</v>
      </c>
    </row>
    <row r="12" spans="1:3">
      <c r="A12" s="7" t="s">
        <v>70</v>
      </c>
      <c r="B12" s="8">
        <v>0.7216250000000001</v>
      </c>
      <c r="C12" s="8">
        <v>0.2783749999999999</v>
      </c>
    </row>
    <row r="13" spans="1:3">
      <c r="A13" s="7" t="s">
        <v>71</v>
      </c>
      <c r="B13" s="8">
        <v>0.80822</v>
      </c>
      <c r="C13" s="8">
        <v>0.19178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A1B9A"/>
  </sheetPr>
  <dimension ref="A1:D19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72</v>
      </c>
    </row>
    <row r="2" spans="1:4">
      <c r="A2" s="2" t="s">
        <v>73</v>
      </c>
    </row>
    <row r="4" spans="1:4">
      <c r="A4" s="5" t="s">
        <v>74</v>
      </c>
    </row>
    <row r="5" spans="1:4">
      <c r="A5" s="6" t="s">
        <v>75</v>
      </c>
      <c r="B5" s="6" t="s">
        <v>76</v>
      </c>
      <c r="C5" s="6" t="s">
        <v>77</v>
      </c>
      <c r="D5" s="6" t="s">
        <v>78</v>
      </c>
    </row>
    <row r="6" spans="1:4">
      <c r="A6" s="7" t="s">
        <v>79</v>
      </c>
      <c r="B6" s="9">
        <v>6.429719478039138</v>
      </c>
      <c r="C6" s="7" t="s">
        <v>80</v>
      </c>
      <c r="D6" s="9">
        <v>5.465261556333266</v>
      </c>
    </row>
    <row r="7" spans="1:4">
      <c r="A7" s="7" t="s">
        <v>81</v>
      </c>
      <c r="B7" s="9">
        <v>3.7</v>
      </c>
      <c r="C7" s="7" t="s">
        <v>82</v>
      </c>
      <c r="D7" s="9">
        <v>-1.295</v>
      </c>
    </row>
    <row r="8" spans="1:4">
      <c r="A8" s="7" t="s">
        <v>83</v>
      </c>
      <c r="B8" s="9">
        <v>28.4</v>
      </c>
      <c r="C8" s="7" t="s">
        <v>80</v>
      </c>
      <c r="D8" s="9">
        <v>1.278</v>
      </c>
    </row>
    <row r="9" spans="1:4">
      <c r="A9" s="7" t="s">
        <v>84</v>
      </c>
      <c r="B9" s="9">
        <v>42.5</v>
      </c>
      <c r="C9" s="7" t="s">
        <v>80</v>
      </c>
      <c r="D9" s="9">
        <v>1.275</v>
      </c>
    </row>
    <row r="10" spans="1:4">
      <c r="A10" s="7" t="s">
        <v>85</v>
      </c>
      <c r="B10" s="9">
        <v>1</v>
      </c>
      <c r="C10" s="7" t="s">
        <v>82</v>
      </c>
      <c r="D10" s="9">
        <v>-0.65</v>
      </c>
    </row>
    <row r="11" spans="1:4">
      <c r="A11" s="7" t="s">
        <v>86</v>
      </c>
      <c r="B11" s="9">
        <v>-5.2</v>
      </c>
      <c r="C11" s="7" t="s">
        <v>80</v>
      </c>
      <c r="D11" s="9">
        <v>0.312</v>
      </c>
    </row>
    <row r="15" spans="1:4">
      <c r="A15" s="5" t="s">
        <v>87</v>
      </c>
    </row>
    <row r="16" spans="1:4">
      <c r="A16" s="6" t="s">
        <v>15</v>
      </c>
      <c r="B16" s="6" t="s">
        <v>88</v>
      </c>
      <c r="C16" s="6" t="s">
        <v>89</v>
      </c>
      <c r="D16" s="6" t="s">
        <v>90</v>
      </c>
    </row>
    <row r="17" spans="1:4">
      <c r="A17" s="7" t="s">
        <v>91</v>
      </c>
      <c r="B17" s="8">
        <v>0.978</v>
      </c>
      <c r="C17" s="8">
        <v>0.09817368539704707</v>
      </c>
      <c r="D17" s="8">
        <v>0.8798263146029529</v>
      </c>
    </row>
    <row r="18" spans="1:4">
      <c r="A18" s="7" t="s">
        <v>20</v>
      </c>
      <c r="B18" s="8">
        <v>0.383</v>
      </c>
      <c r="C18" s="8">
        <v>0.05890421123822825</v>
      </c>
      <c r="D18" s="8">
        <v>0.3240957887617717</v>
      </c>
    </row>
    <row r="19" spans="1:4">
      <c r="A19" s="7" t="s">
        <v>92</v>
      </c>
      <c r="B19" s="9">
        <v>620</v>
      </c>
      <c r="C19" s="9">
        <v>620</v>
      </c>
      <c r="D19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Haircut Distribution</vt:lpstr>
      <vt:lpstr>Resolution Timeline</vt:lpstr>
      <vt:lpstr>Risk Drivers &amp; 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2026-10-03T15:35:03Z</dcterms:created>
  <dcterms:modified xsi:type="dcterms:W3CDTF">2026-10-03T15:35:03Z</dcterms:modified>
</cp:coreProperties>
</file>